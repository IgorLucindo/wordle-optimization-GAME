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n\Desktop\wordle-optimization-GAME\results\"/>
    </mc:Choice>
  </mc:AlternateContent>
  <xr:revisionPtr revIDLastSave="0" documentId="13_ncr:1_{8FF0CFCC-9BA6-49E5-8C3A-E493EDFB7658}" xr6:coauthVersionLast="47" xr6:coauthVersionMax="47" xr10:uidLastSave="{00000000-0000-0000-0000-000000000000}"/>
  <bookViews>
    <workbookView xWindow="-108" yWindow="-108" windowWidth="23256" windowHeight="13176" xr2:uid="{A3BDDEA1-63C4-4C31-AC71-3CE48A408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D16" i="1"/>
  <c r="H16" i="1" s="1"/>
  <c r="C16" i="1"/>
  <c r="G16" i="1" s="1"/>
  <c r="G7" i="1"/>
  <c r="H11" i="1"/>
  <c r="G11" i="1"/>
  <c r="H4" i="1"/>
  <c r="H5" i="1"/>
  <c r="H6" i="1"/>
  <c r="G6" i="1"/>
  <c r="G5" i="1"/>
  <c r="G4" i="1"/>
  <c r="H3" i="1"/>
  <c r="G3" i="1"/>
  <c r="H2" i="1"/>
  <c r="G2" i="1"/>
  <c r="C12" i="1"/>
  <c r="G12" i="1" s="1"/>
  <c r="C14" i="1"/>
  <c r="G14" i="1" s="1"/>
  <c r="C15" i="1"/>
  <c r="G15" i="1" s="1"/>
  <c r="D15" i="1"/>
  <c r="H15" i="1" s="1"/>
  <c r="D14" i="1"/>
  <c r="H14" i="1" s="1"/>
  <c r="D13" i="1"/>
  <c r="H13" i="1" s="1"/>
  <c r="C13" i="1"/>
  <c r="G13" i="1" s="1"/>
  <c r="D12" i="1"/>
  <c r="H12" i="1" s="1"/>
</calcChain>
</file>

<file path=xl/sharedStrings.xml><?xml version="1.0" encoding="utf-8"?>
<sst xmlns="http://schemas.openxmlformats.org/spreadsheetml/2006/main" count="12" uniqueCount="5">
  <si>
    <t>distributions</t>
  </si>
  <si>
    <t>cumulative distribution</t>
  </si>
  <si>
    <t>regular</t>
  </si>
  <si>
    <t>hard</t>
  </si>
  <si>
    <t>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</si>
</sst>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1" applyNumberFormat="1" applyFont="1" applyAlignment="1"/>
    <xf numFmtId="165" fontId="0" fillId="0" borderId="0" xfId="1" applyNumberFormat="1" applyFont="1"/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Distribution of Guesses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Normal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Sheet1!$G$2:$G$7</c:f>
              <c:numCache>
                <c:formatCode>0.0%</c:formatCode>
                <c:ptCount val="6"/>
                <c:pt idx="0">
                  <c:v>0</c:v>
                </c:pt>
                <c:pt idx="1">
                  <c:v>3.3693304535637146E-2</c:v>
                </c:pt>
                <c:pt idx="2">
                  <c:v>0.52872570194384449</c:v>
                </c:pt>
                <c:pt idx="3">
                  <c:v>0.42030237580993518</c:v>
                </c:pt>
                <c:pt idx="4">
                  <c:v>1.7278617710583154E-2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B-487D-9C6B-58A8AC9F216B}"/>
            </c:ext>
          </c:extLst>
        </c:ser>
        <c:ser>
          <c:idx val="1"/>
          <c:order val="1"/>
          <c:tx>
            <c:v>Hard</c:v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Sheet1!$H$2:$H$7</c:f>
              <c:numCache>
                <c:formatCode>0.0%</c:formatCode>
                <c:ptCount val="6"/>
                <c:pt idx="0">
                  <c:v>0</c:v>
                </c:pt>
                <c:pt idx="1">
                  <c:v>5.2267818574514041E-2</c:v>
                </c:pt>
                <c:pt idx="2">
                  <c:v>0.45917926565874728</c:v>
                </c:pt>
                <c:pt idx="3">
                  <c:v>0.42591792656587474</c:v>
                </c:pt>
                <c:pt idx="4">
                  <c:v>5.5723542116630671E-2</c:v>
                </c:pt>
                <c:pt idx="5">
                  <c:v>6.0475161987041037E-3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B-487D-9C6B-58A8AC9F21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30"/>
        <c:axId val="1267432976"/>
        <c:axId val="1364524576"/>
      </c:barChart>
      <c:catAx>
        <c:axId val="126743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24576"/>
        <c:crosses val="autoZero"/>
        <c:auto val="1"/>
        <c:lblAlgn val="ctr"/>
        <c:lblOffset val="100"/>
        <c:noMultiLvlLbl val="0"/>
      </c:catAx>
      <c:valAx>
        <c:axId val="136452457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26743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1323342646685298"/>
          <c:y val="7.3544518473652329E-2"/>
          <c:w val="0.35699054987853568"/>
          <c:h val="8.0584368059761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20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Cumulative Distribution of Guesses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Normal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Sheet1!$G$11:$G$16</c:f>
              <c:numCache>
                <c:formatCode>0.0%</c:formatCode>
                <c:ptCount val="6"/>
                <c:pt idx="0">
                  <c:v>0</c:v>
                </c:pt>
                <c:pt idx="1">
                  <c:v>3.3693304535637146E-2</c:v>
                </c:pt>
                <c:pt idx="2">
                  <c:v>0.56241900647948162</c:v>
                </c:pt>
                <c:pt idx="3">
                  <c:v>0.98272138228941686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7-40EE-8FAB-3DE8A17208C6}"/>
            </c:ext>
          </c:extLst>
        </c:ser>
        <c:ser>
          <c:idx val="1"/>
          <c:order val="1"/>
          <c:tx>
            <c:v>Hard</c:v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Sheet1!$H$11:$H$16</c:f>
              <c:numCache>
                <c:formatCode>0.0%</c:formatCode>
                <c:ptCount val="6"/>
                <c:pt idx="0">
                  <c:v>0</c:v>
                </c:pt>
                <c:pt idx="1">
                  <c:v>5.2267818574514041E-2</c:v>
                </c:pt>
                <c:pt idx="2">
                  <c:v>0.51144708423326135</c:v>
                </c:pt>
                <c:pt idx="3">
                  <c:v>0.93736501079913603</c:v>
                </c:pt>
                <c:pt idx="4">
                  <c:v>0.9930885529157667</c:v>
                </c:pt>
                <c:pt idx="5">
                  <c:v>0.99913606911447084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D7-40EE-8FAB-3DE8A17208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30"/>
        <c:axId val="1267432976"/>
        <c:axId val="1364524576"/>
      </c:barChart>
      <c:catAx>
        <c:axId val="126743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24576"/>
        <c:crosses val="autoZero"/>
        <c:auto val="1"/>
        <c:lblAlgn val="ctr"/>
        <c:lblOffset val="100"/>
        <c:noMultiLvlLbl val="0"/>
      </c:catAx>
      <c:valAx>
        <c:axId val="136452457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26743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2150472506073219"/>
          <c:y val="8.0181315390706318E-2"/>
          <c:w val="0.35699054987853568"/>
          <c:h val="7.70055829545043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20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281940</xdr:colOff>
      <xdr:row>0</xdr:row>
      <xdr:rowOff>106680</xdr:rowOff>
    </xdr:from>
    <xdr:to>
      <xdr:col>18</xdr:col>
      <xdr:colOff>327660</xdr:colOff>
      <xdr:row>27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4E04C2-0E54-48AF-9C73-715B5FACE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434340</xdr:colOff>
      <xdr:row>0</xdr:row>
      <xdr:rowOff>76200</xdr:rowOff>
    </xdr:from>
    <xdr:to>
      <xdr:col>28</xdr:col>
      <xdr:colOff>480060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93BE0-1F30-4835-81E8-670220D66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DD0F-3A6F-4DEF-AEFD-D86CFC7B6CDE}">
  <dimension ref="A1:AJ31"/>
  <sheetViews>
    <sheetView tabSelected="1" topLeftCell="G1" workbookViewId="0">
      <selection activeCell="H20" sqref="H20"/>
    </sheetView>
  </sheetViews>
  <sheetFormatPr defaultRowHeight="14.4" x14ac:dyDescent="0.3"/>
  <cols>
    <col min="7" max="7" width="9.109375" bestFit="1" customWidth="1"/>
    <col min="8" max="9" width="8.88671875" customWidth="1"/>
  </cols>
  <sheetData>
    <row r="1" spans="1:36" x14ac:dyDescent="0.3">
      <c r="A1" t="s">
        <v>0</v>
      </c>
      <c r="C1" t="s">
        <v>2</v>
      </c>
      <c r="D1" t="s">
        <v>3</v>
      </c>
      <c r="F1" t="s">
        <v>4</v>
      </c>
      <c r="G1" t="s">
        <v>2</v>
      </c>
      <c r="H1" t="s">
        <v>3</v>
      </c>
    </row>
    <row r="2" spans="1:36" x14ac:dyDescent="0.3">
      <c r="A2">
        <v>1</v>
      </c>
      <c r="C2">
        <v>0</v>
      </c>
      <c r="D2">
        <v>0</v>
      </c>
      <c r="G2" s="3">
        <f t="shared" ref="G2:H7" si="0">C2/2315</f>
        <v>0</v>
      </c>
      <c r="H2" s="3">
        <f t="shared" si="0"/>
        <v>0</v>
      </c>
      <c r="I2" s="2"/>
    </row>
    <row r="3" spans="1:36" x14ac:dyDescent="0.3">
      <c r="A3">
        <v>2</v>
      </c>
      <c r="C3">
        <v>78</v>
      </c>
      <c r="D3">
        <v>121</v>
      </c>
      <c r="G3" s="3">
        <f t="shared" si="0"/>
        <v>3.3693304535637146E-2</v>
      </c>
      <c r="H3" s="3">
        <f t="shared" si="0"/>
        <v>5.2267818574514041E-2</v>
      </c>
      <c r="I3" s="2"/>
      <c r="AJ3">
        <v>1</v>
      </c>
    </row>
    <row r="4" spans="1:36" x14ac:dyDescent="0.3">
      <c r="A4">
        <v>3</v>
      </c>
      <c r="C4">
        <v>1224</v>
      </c>
      <c r="D4">
        <v>1063</v>
      </c>
      <c r="G4" s="3">
        <f t="shared" si="0"/>
        <v>0.52872570194384449</v>
      </c>
      <c r="H4" s="3">
        <f t="shared" si="0"/>
        <v>0.45917926565874728</v>
      </c>
      <c r="I4" s="2"/>
    </row>
    <row r="5" spans="1:36" x14ac:dyDescent="0.3">
      <c r="A5">
        <v>4</v>
      </c>
      <c r="C5">
        <v>973</v>
      </c>
      <c r="D5">
        <v>986</v>
      </c>
      <c r="G5" s="3">
        <f t="shared" si="0"/>
        <v>0.42030237580993518</v>
      </c>
      <c r="H5" s="3">
        <f t="shared" si="0"/>
        <v>0.42591792656587474</v>
      </c>
      <c r="I5" s="2"/>
    </row>
    <row r="6" spans="1:36" x14ac:dyDescent="0.3">
      <c r="A6">
        <v>5</v>
      </c>
      <c r="C6">
        <v>40</v>
      </c>
      <c r="D6">
        <v>129</v>
      </c>
      <c r="G6" s="3">
        <f t="shared" si="0"/>
        <v>1.7278617710583154E-2</v>
      </c>
      <c r="H6" s="3">
        <f t="shared" si="0"/>
        <v>5.5723542116630671E-2</v>
      </c>
      <c r="I6" s="2"/>
    </row>
    <row r="7" spans="1:36" x14ac:dyDescent="0.3">
      <c r="A7">
        <v>6</v>
      </c>
      <c r="C7">
        <v>0</v>
      </c>
      <c r="D7">
        <v>14</v>
      </c>
      <c r="G7" s="3">
        <f t="shared" si="0"/>
        <v>0</v>
      </c>
      <c r="H7" s="3">
        <f t="shared" si="0"/>
        <v>6.0475161987041037E-3</v>
      </c>
    </row>
    <row r="10" spans="1:36" x14ac:dyDescent="0.3">
      <c r="A10" t="s">
        <v>1</v>
      </c>
      <c r="C10" t="s">
        <v>2</v>
      </c>
      <c r="D10" t="s">
        <v>3</v>
      </c>
      <c r="F10" t="s">
        <v>4</v>
      </c>
      <c r="G10" t="s">
        <v>2</v>
      </c>
      <c r="H10" t="s">
        <v>3</v>
      </c>
    </row>
    <row r="11" spans="1:36" ht="14.4" customHeight="1" x14ac:dyDescent="0.3">
      <c r="A11">
        <v>1</v>
      </c>
      <c r="C11">
        <v>0</v>
      </c>
      <c r="D11">
        <v>0</v>
      </c>
      <c r="G11" s="4">
        <f>C11/2315</f>
        <v>0</v>
      </c>
      <c r="H11" s="4">
        <f>D11/2315</f>
        <v>0</v>
      </c>
    </row>
    <row r="12" spans="1:36" x14ac:dyDescent="0.3">
      <c r="A12">
        <v>2</v>
      </c>
      <c r="C12">
        <f xml:space="preserve"> SUM(C2:C3)</f>
        <v>78</v>
      </c>
      <c r="D12">
        <f xml:space="preserve"> SUM(D2:D3)</f>
        <v>121</v>
      </c>
      <c r="G12" s="4">
        <f t="shared" ref="G12:H16" si="1">C12/2315</f>
        <v>3.3693304535637146E-2</v>
      </c>
      <c r="H12" s="4">
        <f t="shared" si="1"/>
        <v>5.2267818574514041E-2</v>
      </c>
    </row>
    <row r="13" spans="1:36" x14ac:dyDescent="0.3">
      <c r="A13">
        <v>3</v>
      </c>
      <c r="C13">
        <f>SUM(C2:C4)</f>
        <v>1302</v>
      </c>
      <c r="D13">
        <f>SUM(D2:D4)</f>
        <v>1184</v>
      </c>
      <c r="G13" s="4">
        <f t="shared" si="1"/>
        <v>0.56241900647948162</v>
      </c>
      <c r="H13" s="4">
        <f t="shared" si="1"/>
        <v>0.51144708423326135</v>
      </c>
      <c r="I13" s="1"/>
    </row>
    <row r="14" spans="1:36" x14ac:dyDescent="0.3">
      <c r="A14">
        <v>4</v>
      </c>
      <c r="C14">
        <f>SUM(C2:C5)</f>
        <v>2275</v>
      </c>
      <c r="D14">
        <f>SUM(D2:D5)</f>
        <v>2170</v>
      </c>
      <c r="G14" s="4">
        <f t="shared" si="1"/>
        <v>0.98272138228941686</v>
      </c>
      <c r="H14" s="4">
        <f t="shared" si="1"/>
        <v>0.93736501079913603</v>
      </c>
      <c r="I14" s="1"/>
    </row>
    <row r="15" spans="1:36" x14ac:dyDescent="0.3">
      <c r="A15">
        <v>5</v>
      </c>
      <c r="C15">
        <f>SUM(C2:C6)</f>
        <v>2315</v>
      </c>
      <c r="D15">
        <f>SUM(D2:D6)</f>
        <v>2299</v>
      </c>
      <c r="G15" s="4">
        <f t="shared" si="1"/>
        <v>1</v>
      </c>
      <c r="H15" s="4">
        <f t="shared" si="1"/>
        <v>0.9930885529157667</v>
      </c>
      <c r="I15" s="1"/>
    </row>
    <row r="16" spans="1:36" x14ac:dyDescent="0.3">
      <c r="A16">
        <v>6</v>
      </c>
      <c r="C16">
        <f>SUM(C3:C7)</f>
        <v>2315</v>
      </c>
      <c r="D16">
        <f>SUM(D3:D7)</f>
        <v>2313</v>
      </c>
      <c r="G16" s="4">
        <f t="shared" si="1"/>
        <v>1</v>
      </c>
      <c r="H16" s="4">
        <f t="shared" si="1"/>
        <v>0.99913606911447084</v>
      </c>
      <c r="I16" s="1"/>
    </row>
    <row r="17" spans="1:9" x14ac:dyDescent="0.3">
      <c r="H17" s="1"/>
      <c r="I17" s="1"/>
    </row>
    <row r="18" spans="1:9" x14ac:dyDescent="0.3">
      <c r="H18" s="1"/>
      <c r="I18" s="1"/>
    </row>
    <row r="31" spans="1:9" x14ac:dyDescent="0.3">
      <c r="A31" s="5"/>
      <c r="B31" s="5"/>
      <c r="C31" s="5"/>
      <c r="D31" s="5"/>
    </row>
  </sheetData>
  <mergeCells count="1">
    <mergeCell ref="A31:D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Cardoso, Igor</dc:creator>
  <cp:lastModifiedBy>Cardoso, Igor</cp:lastModifiedBy>
  <dcterms:created xsi:type="dcterms:W3CDTF">2025-09-23T18:13:10Z</dcterms:created>
  <dcterms:modified xsi:type="dcterms:W3CDTF">2026-01-22T01:15:11Z</dcterms:modified>
</cp:coreProperties>
</file>